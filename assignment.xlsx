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0ac111512962d7/Desktop/"/>
    </mc:Choice>
  </mc:AlternateContent>
  <xr:revisionPtr revIDLastSave="0" documentId="8_{0A344451-05B5-47D5-926C-ED5913880F20}" xr6:coauthVersionLast="47" xr6:coauthVersionMax="47" xr10:uidLastSave="{00000000-0000-0000-0000-000000000000}"/>
  <bookViews>
    <workbookView xWindow="-108" yWindow="-108" windowWidth="23256" windowHeight="12456" xr2:uid="{8C916638-1345-428A-B8D0-C2054A65A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B44" i="1"/>
  <c r="B4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B42" i="1"/>
  <c r="B41" i="1"/>
  <c r="B40" i="1"/>
  <c r="B39" i="1"/>
  <c r="B38" i="1"/>
</calcChain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<sst xmlns="http://schemas.openxmlformats.org/spreadsheetml/2006/main" count="153" uniqueCount="104">
  <si>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</si>
  <si>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</si>
  <si>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</si>
  <si>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</si>
  <si>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</si>
  <si>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</si>
  <si>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</si>
  <si>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</si>
  <si>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</si>
  <si>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</si>
  <si>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</si>
  <si>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</si>
  <si>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</si>
  <si>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</si>
  <si>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</si>
  <si>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</si>
  <si>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</si>
  <si>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</si>
  <si>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</si>
  <si>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</si>
  <si>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</si>
  <si>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</si>
  <si>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</si>
  <si>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</si>
  <si>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</si>
  <si>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</si>
  <si>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</si>
  <si>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</si>
  <si>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</si>
  <si>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</si>
  <si>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</si>
  <si>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</si>
  <si>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</si>
  <si>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</si>
  <si>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</si>
  <si>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</si>
  <si>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</si>
  <si>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</si>
  <si>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</si>
  <si>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</si>
  <si>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</si>
  <si>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</si>
  <si>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</si>
  <si>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</si>
  <si>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</si>
  <si>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</si>
  <si>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</si>
  <si>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</si>
  <si>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</si>
  <si>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</si>
  <si>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</si>
  <si>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</si>
  <si>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</si>
  <si>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</si>
  <si>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</si>
  <si>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</si>
  <si>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</si>
  <si>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</si>
  <si>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</si>
  <si>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</si>
  <si>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</si>
  <si>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</si>
  <si>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</si>
  <si>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</si>
  <si>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</si>
  <si>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</si>
  <si>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</si>
  <si>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</si>
  <si>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</si>
  <si>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</si>
  <si>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</si>
  <si>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</si>
  <si>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</si>
  <si>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</si>
  <si>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</si>
  <si>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</si>
  <si>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</si>
  <si>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</si>
  <si>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</si>
  <si>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</si>
  <si>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</si>
  <si>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</si>
  <si>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</si>
  <si>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</si>
  <si>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</si>
  <si>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</si>
  <si>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</si>
  <si>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</si>
  <si>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</si>
  <si>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</si>
  <si>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</si>
  <si>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</si>
  <si>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</si>
  <si>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</si>
  <si>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No of products</t>
  </si>
  <si>
    <t>average price of the products</t>
  </si>
  <si>
    <t>MIN</t>
  </si>
  <si>
    <t>MAX</t>
  </si>
  <si>
    <t>Price Range</t>
  </si>
  <si>
    <t>Total(Electronics)</t>
  </si>
  <si>
    <t>Price&lt;100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</si>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</sst>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wrapText="1"/>
    </xf>
    <xf numFmtId="0" fontId="1" fillId="3" borderId="4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right" wrapText="1"/>
    </xf>
    <xf numFmtId="0" fontId="2" fillId="2" borderId="5" xfId="0" applyFont="1" applyFill="1" applyBorder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51F4-1DE0-44EF-BDB3-142D6EE585C0}">
  <dimension ref="A1:J45"/>
  <sheetViews>
    <sheetView tabSelected="1" workbookViewId="0">
      <selection activeCell="K15" sqref="K15"/>
    </sheetView>
  </sheetViews>
  <sheetFormatPr defaultRowHeight="14.4" x14ac:dyDescent="0.3"/>
  <cols>
    <col min="1" max="1" width="28.6640625" bestFit="1" customWidth="1"/>
    <col min="2" max="2" width="19.21875" customWidth="1"/>
    <col min="3" max="3" width="15.88671875" customWidth="1"/>
    <col min="4" max="4" width="11.33203125" customWidth="1"/>
    <col min="5" max="5" width="10.77734375" customWidth="1"/>
    <col min="6" max="6" width="13.44140625" customWidth="1"/>
    <col min="7" max="7" width="16" customWidth="1"/>
    <col min="9" max="9" width="14.21875" customWidth="1"/>
    <col min="14" max="15" width="8.88671875" customWidth="1"/>
  </cols>
  <sheetData>
    <row r="1" spans="1:10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12" t="s">
        <v>98</v>
      </c>
      <c r="H1" s="12" t="s">
        <v>101</v>
      </c>
      <c r="I1" s="12" t="s">
        <v>102</v>
      </c>
      <c r="J1" s="12" t="s">
        <v>103</v>
      </c>
    </row>
    <row r="2" spans="1:10" ht="15" thickBot="1" x14ac:dyDescent="0.35">
      <c r="A2" s="7" t="s">
        <v>6</v>
      </c>
      <c r="B2" s="7" t="s">
        <v>7</v>
      </c>
      <c r="C2" s="7" t="s">
        <v>8</v>
      </c>
      <c r="D2" s="8">
        <v>1000</v>
      </c>
      <c r="E2" s="8">
        <v>30</v>
      </c>
      <c r="F2" s="9" t="s">
        <v>9</v>
      </c>
      <c r="G2" t="str">
        <f>IF(D2&gt;500,"High Price","Standard Price")</f>
        <v>High Price</v>
      </c>
      <c r="H2" t="str">
        <f>LEFT(A2,"2")</f>
        <v>28</v>
      </c>
      <c r="I2" t="str">
        <f>RIGHT(A2,"2")</f>
        <v>US</v>
      </c>
      <c r="J2" t="str">
        <f>MID(A2,4,3)</f>
        <v>JAN</v>
      </c>
    </row>
    <row r="3" spans="1:10" ht="15" thickBot="1" x14ac:dyDescent="0.35">
      <c r="A3" s="4" t="s">
        <v>10</v>
      </c>
      <c r="B3" s="4" t="s">
        <v>11</v>
      </c>
      <c r="C3" s="4" t="s">
        <v>12</v>
      </c>
      <c r="D3" s="10">
        <v>80</v>
      </c>
      <c r="E3" s="10">
        <v>15</v>
      </c>
      <c r="F3" s="3" t="s">
        <v>13</v>
      </c>
      <c r="G3" t="str">
        <f t="shared" ref="G3:G35" si="0">IF(D3&gt;500,"High Price","Standard Price")</f>
        <v>Standard Price</v>
      </c>
      <c r="H3" t="str">
        <f t="shared" ref="H3:H35" si="1">LEFT(A3,"2")</f>
        <v>15</v>
      </c>
      <c r="I3" t="str">
        <f t="shared" ref="I3:I35" si="2">RIGHT(A3,"2")</f>
        <v>US</v>
      </c>
      <c r="J3" t="str">
        <f t="shared" ref="J3:J35" si="3">MID(A3,4,3)</f>
        <v>FEB</v>
      </c>
    </row>
    <row r="4" spans="1:10" ht="15" thickBot="1" x14ac:dyDescent="0.35">
      <c r="A4" s="7" t="s">
        <v>14</v>
      </c>
      <c r="B4" s="7" t="s">
        <v>15</v>
      </c>
      <c r="C4" s="7" t="s">
        <v>16</v>
      </c>
      <c r="D4" s="8">
        <v>130</v>
      </c>
      <c r="E4" s="8">
        <v>40</v>
      </c>
      <c r="F4" s="9" t="s">
        <v>17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" thickBot="1" x14ac:dyDescent="0.35">
      <c r="A5" s="4" t="s">
        <v>18</v>
      </c>
      <c r="B5" s="4" t="s">
        <v>19</v>
      </c>
      <c r="C5" s="4" t="s">
        <v>20</v>
      </c>
      <c r="D5" s="10">
        <v>900</v>
      </c>
      <c r="E5" s="10">
        <v>25</v>
      </c>
      <c r="F5" s="3" t="s">
        <v>9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" thickBot="1" x14ac:dyDescent="0.35">
      <c r="A6" s="7" t="s">
        <v>21</v>
      </c>
      <c r="B6" s="7" t="s">
        <v>22</v>
      </c>
      <c r="C6" s="7" t="s">
        <v>23</v>
      </c>
      <c r="D6" s="8">
        <v>70</v>
      </c>
      <c r="E6" s="8">
        <v>20</v>
      </c>
      <c r="F6" s="9" t="s">
        <v>24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" thickBot="1" x14ac:dyDescent="0.35">
      <c r="A7" s="4" t="s">
        <v>25</v>
      </c>
      <c r="B7" s="4" t="s">
        <v>26</v>
      </c>
      <c r="C7" s="4" t="s">
        <v>27</v>
      </c>
      <c r="D7" s="10">
        <v>200</v>
      </c>
      <c r="E7" s="10">
        <v>45</v>
      </c>
      <c r="F7" s="3" t="s">
        <v>9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" thickBot="1" x14ac:dyDescent="0.35">
      <c r="A8" s="7" t="s">
        <v>28</v>
      </c>
      <c r="B8" s="7" t="s">
        <v>29</v>
      </c>
      <c r="C8" s="7" t="s">
        <v>30</v>
      </c>
      <c r="D8" s="8">
        <v>30</v>
      </c>
      <c r="E8" s="8">
        <v>5</v>
      </c>
      <c r="F8" s="9" t="s">
        <v>13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" thickBot="1" x14ac:dyDescent="0.35">
      <c r="A9" s="4" t="s">
        <v>31</v>
      </c>
      <c r="B9" s="4" t="s">
        <v>32</v>
      </c>
      <c r="C9" s="4" t="s">
        <v>33</v>
      </c>
      <c r="D9" s="10">
        <v>90</v>
      </c>
      <c r="E9" s="10">
        <v>35</v>
      </c>
      <c r="F9" s="3" t="s">
        <v>17</v>
      </c>
      <c r="G9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" thickBot="1" x14ac:dyDescent="0.35">
      <c r="A10" s="7" t="s">
        <v>34</v>
      </c>
      <c r="B10" s="7" t="s">
        <v>35</v>
      </c>
      <c r="C10" s="7" t="s">
        <v>36</v>
      </c>
      <c r="D10" s="8">
        <v>500</v>
      </c>
      <c r="E10" s="8">
        <v>50</v>
      </c>
      <c r="F10" s="9" t="s">
        <v>9</v>
      </c>
      <c r="G10" t="str">
        <f t="shared" si="0"/>
        <v>Standard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" thickBot="1" x14ac:dyDescent="0.35">
      <c r="A11" s="4" t="s">
        <v>37</v>
      </c>
      <c r="B11" s="4" t="s">
        <v>38</v>
      </c>
      <c r="C11" s="4" t="s">
        <v>39</v>
      </c>
      <c r="D11" s="10">
        <v>130</v>
      </c>
      <c r="E11" s="10">
        <v>10</v>
      </c>
      <c r="F11" s="3" t="s">
        <v>24</v>
      </c>
      <c r="G11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" thickBot="1" x14ac:dyDescent="0.35">
      <c r="A12" s="7" t="s">
        <v>40</v>
      </c>
      <c r="B12" s="7" t="s">
        <v>7</v>
      </c>
      <c r="C12" s="7" t="s">
        <v>41</v>
      </c>
      <c r="D12" s="8">
        <v>950</v>
      </c>
      <c r="E12" s="8">
        <v>25</v>
      </c>
      <c r="F12" s="9" t="s">
        <v>9</v>
      </c>
      <c r="G12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" thickBot="1" x14ac:dyDescent="0.35">
      <c r="A13" s="4" t="s">
        <v>42</v>
      </c>
      <c r="B13" s="4" t="s">
        <v>11</v>
      </c>
      <c r="C13" s="4" t="s">
        <v>30</v>
      </c>
      <c r="D13" s="10">
        <v>90</v>
      </c>
      <c r="E13" s="10">
        <v>40</v>
      </c>
      <c r="F13" s="3" t="s">
        <v>13</v>
      </c>
      <c r="G1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" thickBot="1" x14ac:dyDescent="0.35">
      <c r="A14" s="7" t="s">
        <v>43</v>
      </c>
      <c r="B14" s="7" t="s">
        <v>15</v>
      </c>
      <c r="C14" s="7" t="s">
        <v>44</v>
      </c>
      <c r="D14" s="8">
        <v>120</v>
      </c>
      <c r="E14" s="8">
        <v>35</v>
      </c>
      <c r="F14" s="9" t="s">
        <v>17</v>
      </c>
      <c r="G14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" thickBot="1" x14ac:dyDescent="0.35">
      <c r="A15" s="4" t="s">
        <v>45</v>
      </c>
      <c r="B15" s="4" t="s">
        <v>46</v>
      </c>
      <c r="C15" s="4" t="s">
        <v>47</v>
      </c>
      <c r="D15" s="10">
        <v>150</v>
      </c>
      <c r="E15" s="10">
        <v>15</v>
      </c>
      <c r="F15" s="3" t="s">
        <v>9</v>
      </c>
      <c r="G15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" thickBot="1" x14ac:dyDescent="0.35">
      <c r="A16" s="7" t="s">
        <v>48</v>
      </c>
      <c r="B16" s="7" t="s">
        <v>26</v>
      </c>
      <c r="C16" s="7" t="s">
        <v>49</v>
      </c>
      <c r="D16" s="8">
        <v>250</v>
      </c>
      <c r="E16" s="8">
        <v>20</v>
      </c>
      <c r="F16" s="9" t="s">
        <v>9</v>
      </c>
      <c r="G16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" thickBot="1" x14ac:dyDescent="0.35">
      <c r="A17" s="4" t="s">
        <v>50</v>
      </c>
      <c r="B17" s="4" t="s">
        <v>51</v>
      </c>
      <c r="C17" s="4" t="s">
        <v>52</v>
      </c>
      <c r="D17" s="10">
        <v>50</v>
      </c>
      <c r="E17" s="10">
        <v>35</v>
      </c>
      <c r="F17" s="3" t="s">
        <v>53</v>
      </c>
      <c r="G17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" thickBot="1" x14ac:dyDescent="0.35">
      <c r="A18" s="7" t="s">
        <v>54</v>
      </c>
      <c r="B18" s="7" t="s">
        <v>46</v>
      </c>
      <c r="C18" s="7" t="s">
        <v>55</v>
      </c>
      <c r="D18" s="8">
        <v>160</v>
      </c>
      <c r="E18" s="8">
        <v>15</v>
      </c>
      <c r="F18" s="9" t="s">
        <v>9</v>
      </c>
      <c r="G18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" thickBot="1" x14ac:dyDescent="0.35">
      <c r="A19" s="4" t="s">
        <v>56</v>
      </c>
      <c r="B19" s="4" t="s">
        <v>7</v>
      </c>
      <c r="C19" s="4" t="s">
        <v>57</v>
      </c>
      <c r="D19" s="10">
        <v>980</v>
      </c>
      <c r="E19" s="10">
        <v>10</v>
      </c>
      <c r="F19" s="3" t="s">
        <v>9</v>
      </c>
      <c r="G19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" thickBot="1" x14ac:dyDescent="0.35">
      <c r="A20" s="7" t="s">
        <v>58</v>
      </c>
      <c r="B20" s="7" t="s">
        <v>59</v>
      </c>
      <c r="C20" s="7" t="s">
        <v>60</v>
      </c>
      <c r="D20" s="8">
        <v>150</v>
      </c>
      <c r="E20" s="8">
        <v>15</v>
      </c>
      <c r="F20" s="9" t="s">
        <v>13</v>
      </c>
      <c r="G20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" thickBot="1" x14ac:dyDescent="0.35">
      <c r="A21" s="4" t="s">
        <v>61</v>
      </c>
      <c r="B21" s="4" t="s">
        <v>62</v>
      </c>
      <c r="C21" s="4" t="s">
        <v>63</v>
      </c>
      <c r="D21" s="10">
        <v>200</v>
      </c>
      <c r="E21" s="10">
        <v>10</v>
      </c>
      <c r="F21" s="3" t="s">
        <v>24</v>
      </c>
      <c r="G21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" thickBot="1" x14ac:dyDescent="0.35">
      <c r="A22" s="7" t="s">
        <v>64</v>
      </c>
      <c r="B22" s="7" t="s">
        <v>65</v>
      </c>
      <c r="C22" s="7" t="s">
        <v>66</v>
      </c>
      <c r="D22" s="8">
        <v>700</v>
      </c>
      <c r="E22" s="8">
        <v>50</v>
      </c>
      <c r="F22" s="9" t="s">
        <v>9</v>
      </c>
      <c r="G22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" thickBot="1" x14ac:dyDescent="0.35">
      <c r="A23" s="4" t="s">
        <v>67</v>
      </c>
      <c r="B23" s="4" t="s">
        <v>68</v>
      </c>
      <c r="C23" s="4" t="s">
        <v>69</v>
      </c>
      <c r="D23" s="10">
        <v>80</v>
      </c>
      <c r="E23" s="10">
        <v>20</v>
      </c>
      <c r="F23" s="3" t="s">
        <v>17</v>
      </c>
      <c r="G2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" thickBot="1" x14ac:dyDescent="0.35">
      <c r="A24" s="7" t="s">
        <v>70</v>
      </c>
      <c r="B24" s="7" t="s">
        <v>71</v>
      </c>
      <c r="C24" s="7" t="s">
        <v>72</v>
      </c>
      <c r="D24" s="8">
        <v>150</v>
      </c>
      <c r="E24" s="8">
        <v>30</v>
      </c>
      <c r="F24" s="9" t="s">
        <v>9</v>
      </c>
      <c r="G24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" thickBot="1" x14ac:dyDescent="0.35">
      <c r="A25" s="4" t="s">
        <v>50</v>
      </c>
      <c r="B25" s="4" t="s">
        <v>51</v>
      </c>
      <c r="C25" s="4" t="s">
        <v>52</v>
      </c>
      <c r="D25" s="10">
        <v>50</v>
      </c>
      <c r="E25" s="10">
        <v>35</v>
      </c>
      <c r="F25" s="3" t="s">
        <v>53</v>
      </c>
      <c r="G25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" thickBot="1" x14ac:dyDescent="0.35">
      <c r="A26" s="7" t="s">
        <v>73</v>
      </c>
      <c r="B26" s="7" t="s">
        <v>19</v>
      </c>
      <c r="C26" s="7" t="s">
        <v>74</v>
      </c>
      <c r="D26" s="8">
        <v>800</v>
      </c>
      <c r="E26" s="8">
        <v>45</v>
      </c>
      <c r="F26" s="9" t="s">
        <v>9</v>
      </c>
      <c r="G26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" thickBot="1" x14ac:dyDescent="0.35">
      <c r="A27" s="4" t="s">
        <v>75</v>
      </c>
      <c r="B27" s="4" t="s">
        <v>59</v>
      </c>
      <c r="C27" s="4" t="s">
        <v>76</v>
      </c>
      <c r="D27" s="10">
        <v>130</v>
      </c>
      <c r="E27" s="10">
        <v>25</v>
      </c>
      <c r="F27" s="3" t="s">
        <v>13</v>
      </c>
      <c r="G27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" thickBot="1" x14ac:dyDescent="0.35">
      <c r="A28" s="7" t="s">
        <v>77</v>
      </c>
      <c r="B28" s="7" t="s">
        <v>32</v>
      </c>
      <c r="C28" s="7" t="s">
        <v>78</v>
      </c>
      <c r="D28" s="8">
        <v>400</v>
      </c>
      <c r="E28" s="8">
        <v>40</v>
      </c>
      <c r="F28" s="9" t="s">
        <v>17</v>
      </c>
      <c r="G28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" thickBot="1" x14ac:dyDescent="0.35">
      <c r="A29" s="4" t="s">
        <v>48</v>
      </c>
      <c r="B29" s="4" t="s">
        <v>26</v>
      </c>
      <c r="C29" s="4" t="s">
        <v>49</v>
      </c>
      <c r="D29" s="10">
        <v>230</v>
      </c>
      <c r="E29" s="10">
        <v>20</v>
      </c>
      <c r="F29" s="3" t="s">
        <v>9</v>
      </c>
      <c r="G29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" thickBot="1" x14ac:dyDescent="0.35">
      <c r="A30" s="7" t="s">
        <v>79</v>
      </c>
      <c r="B30" s="7" t="s">
        <v>80</v>
      </c>
      <c r="C30" s="7" t="s">
        <v>81</v>
      </c>
      <c r="D30" s="8">
        <v>60</v>
      </c>
      <c r="E30" s="8">
        <v>30</v>
      </c>
      <c r="F30" s="9" t="s">
        <v>13</v>
      </c>
      <c r="G30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" thickBot="1" x14ac:dyDescent="0.35">
      <c r="A31" s="4" t="s">
        <v>82</v>
      </c>
      <c r="B31" s="4" t="s">
        <v>83</v>
      </c>
      <c r="C31" s="4" t="s">
        <v>84</v>
      </c>
      <c r="D31" s="10">
        <v>40</v>
      </c>
      <c r="E31" s="10">
        <v>10</v>
      </c>
      <c r="F31" s="3" t="s">
        <v>17</v>
      </c>
      <c r="G31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" thickBot="1" x14ac:dyDescent="0.35">
      <c r="A32" s="7" t="s">
        <v>85</v>
      </c>
      <c r="B32" s="7" t="s">
        <v>71</v>
      </c>
      <c r="C32" s="7" t="s">
        <v>86</v>
      </c>
      <c r="D32" s="8">
        <v>130</v>
      </c>
      <c r="E32" s="8">
        <v>5</v>
      </c>
      <c r="F32" s="9" t="s">
        <v>9</v>
      </c>
      <c r="G32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" thickBot="1" x14ac:dyDescent="0.35">
      <c r="A33" s="4" t="s">
        <v>87</v>
      </c>
      <c r="B33" s="4" t="s">
        <v>88</v>
      </c>
      <c r="C33" s="4" t="s">
        <v>89</v>
      </c>
      <c r="D33" s="10">
        <v>50</v>
      </c>
      <c r="E33" s="10">
        <v>50</v>
      </c>
      <c r="F33" s="3" t="s">
        <v>13</v>
      </c>
      <c r="G3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" thickBot="1" x14ac:dyDescent="0.35">
      <c r="A34" s="7" t="s">
        <v>40</v>
      </c>
      <c r="B34" s="7" t="s">
        <v>7</v>
      </c>
      <c r="C34" s="7" t="s">
        <v>41</v>
      </c>
      <c r="D34" s="8">
        <v>950</v>
      </c>
      <c r="E34" s="8">
        <v>25</v>
      </c>
      <c r="F34" s="9" t="s">
        <v>9</v>
      </c>
      <c r="G34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" thickBot="1" x14ac:dyDescent="0.35">
      <c r="A35" s="2" t="s">
        <v>90</v>
      </c>
      <c r="B35" s="2" t="s">
        <v>91</v>
      </c>
      <c r="C35" s="2" t="s">
        <v>92</v>
      </c>
      <c r="D35" s="11">
        <v>100</v>
      </c>
      <c r="E35" s="11">
        <v>20</v>
      </c>
      <c r="F35" s="1" t="s">
        <v>53</v>
      </c>
      <c r="G35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8" spans="1:10" ht="15.6" x14ac:dyDescent="0.3">
      <c r="A38" s="13" t="s">
        <v>93</v>
      </c>
      <c r="B38">
        <f>SUM(D2:D35)</f>
        <v>10100</v>
      </c>
    </row>
    <row r="39" spans="1:10" ht="15.6" x14ac:dyDescent="0.3">
      <c r="A39" s="13" t="s">
        <v>94</v>
      </c>
      <c r="B39">
        <f>COUNT(D2:D35)</f>
        <v>34</v>
      </c>
    </row>
    <row r="40" spans="1:10" ht="15.6" x14ac:dyDescent="0.3">
      <c r="A40" s="13" t="s">
        <v>95</v>
      </c>
      <c r="B40">
        <f>AVERAGE(D2:D35)</f>
        <v>297.05882352941177</v>
      </c>
    </row>
    <row r="41" spans="1:10" ht="15.6" x14ac:dyDescent="0.3">
      <c r="A41" s="13" t="s">
        <v>96</v>
      </c>
      <c r="B41">
        <f>MIN(D2:D35)</f>
        <v>30</v>
      </c>
    </row>
    <row r="42" spans="1:10" ht="15.6" x14ac:dyDescent="0.3">
      <c r="A42" s="13" t="s">
        <v>97</v>
      </c>
      <c r="B42">
        <f>MAX(D2:D35)</f>
        <v>1000</v>
      </c>
    </row>
    <row r="43" spans="1:10" ht="15.6" x14ac:dyDescent="0.3">
      <c r="A43" s="13" t="s">
        <v>99</v>
      </c>
      <c r="B43">
        <f>SUMIF(F2:F35,F2,D2:D35)</f>
        <v>8050</v>
      </c>
    </row>
    <row r="44" spans="1:10" ht="15.6" x14ac:dyDescent="0.3">
      <c r="A44" s="13" t="s">
        <v>100</v>
      </c>
      <c r="B44">
        <f>COUNTIF(D2:D35,"&lt;100")</f>
        <v>11</v>
      </c>
    </row>
    <row r="45" spans="1:10" ht="15.6" x14ac:dyDescent="0.3">
      <c r="A4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Anugraha BM</dc:creator>
  <cp:lastModifiedBy>Anugraha BM</cp:lastModifiedBy>
  <dcterms:created xsi:type="dcterms:W3CDTF">2026-09-15T19:55:12Z</dcterms:created>
  <dcterms:modified xsi:type="dcterms:W3CDTF">2026-09-15T20:42:46Z</dcterms:modified>
</cp:coreProperties>
</file>